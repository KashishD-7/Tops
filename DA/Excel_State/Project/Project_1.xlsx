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DA\"/>
    </mc:Choice>
  </mc:AlternateContent>
  <xr:revisionPtr revIDLastSave="0" documentId="13_ncr:1_{D7E2EBD4-6FCA-4FFA-841C-81592D3B4846}" xr6:coauthVersionLast="47" xr6:coauthVersionMax="47" xr10:uidLastSave="{00000000-0000-0000-0000-000000000000}"/>
  <bookViews>
    <workbookView xWindow="11592" yWindow="72" windowWidth="11544" windowHeight="12000" firstSheet="1" activeTab="3" xr2:uid="{AF4792FD-6390-4B0C-88C0-9D5C6AC9524C}"/>
  </bookViews>
  <sheets>
    <sheet name="Z-Test" sheetId="1" r:id="rId1"/>
    <sheet name="T-test" sheetId="2" r:id="rId2"/>
    <sheet name="ANOVA" sheetId="3" r:id="rId3"/>
    <sheet name="Chi-Squar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9" i="4" l="1"/>
  <c r="E28" i="4"/>
  <c r="E27" i="4"/>
  <c r="E26" i="4"/>
  <c r="E25" i="4"/>
  <c r="E24" i="4"/>
  <c r="E23" i="4"/>
  <c r="D28" i="4"/>
  <c r="D25" i="4"/>
  <c r="D23" i="4"/>
  <c r="C28" i="4"/>
  <c r="C27" i="4"/>
  <c r="C26" i="4"/>
  <c r="C25" i="4"/>
  <c r="C24" i="4"/>
  <c r="C23" i="4"/>
  <c r="B10" i="4"/>
  <c r="E12" i="4"/>
  <c r="D12" i="4"/>
  <c r="C12" i="4"/>
  <c r="B12" i="4"/>
  <c r="E11" i="4"/>
  <c r="E10" i="4"/>
  <c r="D11" i="4"/>
  <c r="D10" i="4"/>
  <c r="C11" i="4"/>
  <c r="C10" i="4"/>
  <c r="B11" i="4"/>
  <c r="M11" i="2" l="1"/>
  <c r="M10" i="2"/>
  <c r="M9" i="2"/>
  <c r="M8" i="2"/>
  <c r="M7" i="2"/>
  <c r="L11" i="2"/>
  <c r="L10" i="2"/>
  <c r="L9" i="2"/>
  <c r="L8" i="2"/>
  <c r="L7" i="2"/>
  <c r="L6" i="2"/>
  <c r="K11" i="2"/>
  <c r="K10" i="2"/>
  <c r="K9" i="2"/>
  <c r="K8" i="2"/>
  <c r="K7" i="2"/>
  <c r="K6" i="2"/>
  <c r="K5" i="2"/>
  <c r="K4" i="2"/>
  <c r="K3" i="2"/>
  <c r="K2" i="2"/>
  <c r="J11" i="2"/>
  <c r="J10" i="2"/>
  <c r="J9" i="2"/>
  <c r="J8" i="2"/>
  <c r="J7" i="2"/>
  <c r="J6" i="2"/>
  <c r="J5" i="2"/>
  <c r="J4" i="2"/>
  <c r="J3" i="2"/>
  <c r="J2" i="2"/>
  <c r="G29" i="2"/>
  <c r="G28" i="2"/>
  <c r="G27" i="2"/>
  <c r="G26" i="2"/>
  <c r="G25" i="2"/>
  <c r="G24" i="2" l="1"/>
  <c r="G23" i="2"/>
  <c r="G22" i="2"/>
  <c r="G21" i="2"/>
  <c r="G20" i="2"/>
  <c r="G19" i="2"/>
  <c r="G18" i="2"/>
  <c r="G17" i="2"/>
  <c r="G16" i="2"/>
  <c r="G15" i="2"/>
  <c r="D8" i="2"/>
  <c r="D6" i="2"/>
  <c r="D5" i="2"/>
  <c r="D4" i="2"/>
  <c r="B19" i="1" l="1"/>
  <c r="B18" i="1"/>
  <c r="B16" i="1"/>
  <c r="B15" i="1"/>
</calcChain>
</file>

<file path=xl/sharedStrings.xml><?xml version="1.0" encoding="utf-8"?>
<sst xmlns="http://schemas.openxmlformats.org/spreadsheetml/2006/main" count="165" uniqueCount="104">
  <si>
    <t>Z-Test:</t>
  </si>
  <si>
    <t>X</t>
  </si>
  <si>
    <t>Y</t>
  </si>
  <si>
    <t>Mean  x</t>
  </si>
  <si>
    <t>Mean y</t>
  </si>
  <si>
    <t>Variance x</t>
  </si>
  <si>
    <t>Variance y</t>
  </si>
  <si>
    <t>z-Test: Two Sample for Means</t>
  </si>
  <si>
    <t>Variable 1</t>
  </si>
  <si>
    <t>Variable 2</t>
  </si>
  <si>
    <t>Mean</t>
  </si>
  <si>
    <t>Known Variance</t>
  </si>
  <si>
    <t>Observations</t>
  </si>
  <si>
    <t>Hypothesized Mean Difference</t>
  </si>
  <si>
    <t>z</t>
  </si>
  <si>
    <t>P(Z&lt;=z) one-tail</t>
  </si>
  <si>
    <t>z Critical one-tail</t>
  </si>
  <si>
    <t>P(Z&lt;=z) two-tail</t>
  </si>
  <si>
    <t>z Critical two-tail</t>
  </si>
  <si>
    <t>T-test</t>
  </si>
  <si>
    <t>One-Sample t-Test :</t>
  </si>
  <si>
    <t>x</t>
  </si>
  <si>
    <t>x Mean</t>
  </si>
  <si>
    <t>standard deviation</t>
  </si>
  <si>
    <t>Hypothes</t>
  </si>
  <si>
    <t>Size</t>
  </si>
  <si>
    <t>Sorted Data</t>
  </si>
  <si>
    <t>y</t>
  </si>
  <si>
    <t>Sort X</t>
  </si>
  <si>
    <t>Sort y</t>
  </si>
  <si>
    <t>X-X Mean</t>
  </si>
  <si>
    <t>Y-Y Mean</t>
  </si>
  <si>
    <t>Two - Sample t-Test:</t>
  </si>
  <si>
    <t>Equal:</t>
  </si>
  <si>
    <t>X Mean</t>
  </si>
  <si>
    <t>Y Mean</t>
  </si>
  <si>
    <t>Variance X</t>
  </si>
  <si>
    <t>Variance Y</t>
  </si>
  <si>
    <t>standard deviation of x</t>
  </si>
  <si>
    <t>standard deviation of y</t>
  </si>
  <si>
    <t>p(T&lt;=t)two-tail</t>
  </si>
  <si>
    <t>Observation</t>
  </si>
  <si>
    <t>Pooled Variance</t>
  </si>
  <si>
    <t>DF</t>
  </si>
  <si>
    <t xml:space="preserve">Standard Error </t>
  </si>
  <si>
    <t>T Stat</t>
  </si>
  <si>
    <t>p(T&lt;=t)one-tail</t>
  </si>
  <si>
    <t>X-X Mean^2</t>
  </si>
  <si>
    <t>Y-Y Mean^2</t>
  </si>
  <si>
    <t xml:space="preserve"> </t>
  </si>
  <si>
    <t>t-Test: Two-Sample Assuming Equal Variances</t>
  </si>
  <si>
    <t>Variance</t>
  </si>
  <si>
    <t>df</t>
  </si>
  <si>
    <t>t Stat</t>
  </si>
  <si>
    <t>P(T&lt;=t) one-tail</t>
  </si>
  <si>
    <t>t Critical one-tail</t>
  </si>
  <si>
    <t>P(T&lt;=t) two-tail</t>
  </si>
  <si>
    <t>t Critical two-tail</t>
  </si>
  <si>
    <t>t-Test: Two-Sample Assuming Unequal Variances</t>
  </si>
  <si>
    <t>ANOVA TEST</t>
  </si>
  <si>
    <t>Z</t>
  </si>
  <si>
    <t>Anova: Single Factor</t>
  </si>
  <si>
    <t>SUMMARY</t>
  </si>
  <si>
    <t>Groups</t>
  </si>
  <si>
    <t>Count</t>
  </si>
  <si>
    <t>Sum</t>
  </si>
  <si>
    <t>Average</t>
  </si>
  <si>
    <t>ANOVA</t>
  </si>
  <si>
    <t>Source of Variation</t>
  </si>
  <si>
    <t>SS</t>
  </si>
  <si>
    <t>MS</t>
  </si>
  <si>
    <t>F</t>
  </si>
  <si>
    <t>P-value</t>
  </si>
  <si>
    <t>F crit</t>
  </si>
  <si>
    <t>Between Groups</t>
  </si>
  <si>
    <t>Within Groups</t>
  </si>
  <si>
    <t>Total</t>
  </si>
  <si>
    <t>Anova: Two-Factor With Replication</t>
  </si>
  <si>
    <t>Sample</t>
  </si>
  <si>
    <t>Columns</t>
  </si>
  <si>
    <t>Interaction</t>
  </si>
  <si>
    <t>Within</t>
  </si>
  <si>
    <t>Observed Data:</t>
  </si>
  <si>
    <t>Action</t>
  </si>
  <si>
    <t>Comedy</t>
  </si>
  <si>
    <t>Drama</t>
  </si>
  <si>
    <t>Male</t>
  </si>
  <si>
    <t>Female</t>
  </si>
  <si>
    <t>Expected Data:</t>
  </si>
  <si>
    <t>Formula :</t>
  </si>
  <si>
    <t>χ 2=∑ (O−E) 2____E</t>
  </si>
  <si>
    <t>Calculation :</t>
  </si>
  <si>
    <t>O</t>
  </si>
  <si>
    <t>E</t>
  </si>
  <si>
    <t>(O-E)</t>
  </si>
  <si>
    <t>(O-E)^2</t>
  </si>
  <si>
    <t>(O-E)^2/E</t>
  </si>
  <si>
    <t>Degree of freedom:</t>
  </si>
  <si>
    <t>df =  (rows−1)×(columns−1)</t>
  </si>
  <si>
    <t>df = (2-1)*(2-1)</t>
  </si>
  <si>
    <t>df = 1*1</t>
  </si>
  <si>
    <t>df = 1</t>
  </si>
  <si>
    <t>Chi-square:</t>
  </si>
  <si>
    <t xml:space="preserve">It’s not null hypothesis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</si>
</sst>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1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1" xfId="0" applyBorder="1"/>
    <xf numFmtId="0" fontId="5" fillId="0" borderId="2" xfId="0" applyFont="1" applyBorder="1" applyAlignment="1">
      <alignment horizontal="center"/>
    </xf>
    <xf numFmtId="0" fontId="6" fillId="0" borderId="0" xfId="0" applyFont="1"/>
    <xf numFmtId="0" fontId="0" fillId="0" borderId="0" xfId="0" applyFill="1" applyBorder="1" applyAlignment="1"/>
    <xf numFmtId="0" fontId="0" fillId="0" borderId="1" xfId="0" applyFill="1" applyBorder="1" applyAlignment="1"/>
    <xf numFmtId="0" fontId="5" fillId="0" borderId="2" xfId="0" applyFont="1" applyFill="1" applyBorder="1" applyAlignment="1">
      <alignment horizontal="center"/>
    </xf>
    <xf numFmtId="0" fontId="7" fillId="0" borderId="0" xfId="0" applyFont="1"/>
    <xf numFmtId="0" fontId="8" fillId="0" borderId="3" xfId="0" applyFont="1" applyFill="1" applyBorder="1" applyAlignment="1">
      <alignment horizontal="right"/>
    </xf>
    <xf numFmtId="0" fontId="4" fillId="0" borderId="4" xfId="0" applyFont="1" applyBorder="1"/>
    <xf numFmtId="0" fontId="0" fillId="0" borderId="4" xfId="0" applyBorder="1"/>
    <xf numFmtId="0" fontId="4" fillId="0" borderId="0" xfId="0" applyFont="1" applyBorder="1"/>
    <xf numFmtId="0" fontId="4" fillId="0" borderId="0" xfId="0" applyFont="1" applyAlignment="1">
      <alignment wrapText="1"/>
    </xf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BF0B9-13BF-4C6F-B514-36719EEFF76B}">
  <dimension ref="A1:F19"/>
  <sheetViews>
    <sheetView workbookViewId="0">
      <selection activeCell="H4" sqref="H4"/>
    </sheetView>
  </sheetViews>
  <sheetFormatPr defaultRowHeight="14.4" x14ac:dyDescent="0.3"/>
  <cols>
    <col min="1" max="1" width="13.5546875" customWidth="1"/>
    <col min="4" max="4" width="25.6640625" customWidth="1"/>
  </cols>
  <sheetData>
    <row r="1" spans="1:6" ht="28.8" x14ac:dyDescent="0.55000000000000004">
      <c r="A1" s="1" t="s">
        <v>0</v>
      </c>
    </row>
    <row r="2" spans="1:6" ht="23.4" x14ac:dyDescent="0.45">
      <c r="A2" s="2" t="s">
        <v>1</v>
      </c>
      <c r="B2" s="3" t="s">
        <v>2</v>
      </c>
    </row>
    <row r="3" spans="1:6" x14ac:dyDescent="0.3">
      <c r="A3">
        <v>52000</v>
      </c>
      <c r="B3">
        <v>50000</v>
      </c>
      <c r="D3" t="s">
        <v>7</v>
      </c>
    </row>
    <row r="4" spans="1:6" ht="15" thickBot="1" x14ac:dyDescent="0.35">
      <c r="A4">
        <v>54000</v>
      </c>
      <c r="B4">
        <v>49000</v>
      </c>
    </row>
    <row r="5" spans="1:6" x14ac:dyDescent="0.3">
      <c r="A5">
        <v>50000</v>
      </c>
      <c r="B5">
        <v>48000</v>
      </c>
      <c r="D5" s="6"/>
      <c r="E5" s="6" t="s">
        <v>8</v>
      </c>
      <c r="F5" s="6" t="s">
        <v>9</v>
      </c>
    </row>
    <row r="6" spans="1:6" x14ac:dyDescent="0.3">
      <c r="A6">
        <v>58000</v>
      </c>
      <c r="B6">
        <v>52000</v>
      </c>
      <c r="D6" t="s">
        <v>10</v>
      </c>
      <c r="E6">
        <v>53500</v>
      </c>
      <c r="F6">
        <v>49750</v>
      </c>
    </row>
    <row r="7" spans="1:6" x14ac:dyDescent="0.3">
      <c r="A7">
        <v>49000</v>
      </c>
      <c r="B7">
        <v>51000</v>
      </c>
      <c r="D7" t="s">
        <v>11</v>
      </c>
      <c r="E7">
        <v>9166667</v>
      </c>
      <c r="F7">
        <v>2291667</v>
      </c>
    </row>
    <row r="8" spans="1:6" x14ac:dyDescent="0.3">
      <c r="A8">
        <v>51000</v>
      </c>
      <c r="B8">
        <v>49500</v>
      </c>
      <c r="D8" t="s">
        <v>12</v>
      </c>
      <c r="E8">
        <v>10</v>
      </c>
      <c r="F8">
        <v>10</v>
      </c>
    </row>
    <row r="9" spans="1:6" x14ac:dyDescent="0.3">
      <c r="A9">
        <v>53000</v>
      </c>
      <c r="B9">
        <v>50500</v>
      </c>
      <c r="D9" t="s">
        <v>13</v>
      </c>
      <c r="E9">
        <v>0</v>
      </c>
    </row>
    <row r="10" spans="1:6" x14ac:dyDescent="0.3">
      <c r="A10">
        <v>55000</v>
      </c>
      <c r="B10">
        <v>48500</v>
      </c>
      <c r="D10" t="s">
        <v>14</v>
      </c>
      <c r="E10">
        <v>3.5032451468142694</v>
      </c>
    </row>
    <row r="11" spans="1:6" x14ac:dyDescent="0.3">
      <c r="A11">
        <v>56000</v>
      </c>
      <c r="B11">
        <v>51500</v>
      </c>
      <c r="D11" t="s">
        <v>15</v>
      </c>
      <c r="E11">
        <v>2.2981312263270492E-4</v>
      </c>
    </row>
    <row r="12" spans="1:6" x14ac:dyDescent="0.3">
      <c r="A12">
        <v>57000</v>
      </c>
      <c r="B12">
        <v>47500</v>
      </c>
      <c r="D12" t="s">
        <v>16</v>
      </c>
      <c r="E12">
        <v>1.6448536269514715</v>
      </c>
    </row>
    <row r="13" spans="1:6" x14ac:dyDescent="0.3">
      <c r="D13" t="s">
        <v>17</v>
      </c>
      <c r="E13">
        <v>4.5962624526540985E-4</v>
      </c>
    </row>
    <row r="14" spans="1:6" ht="15" thickBot="1" x14ac:dyDescent="0.35">
      <c r="D14" s="5" t="s">
        <v>18</v>
      </c>
      <c r="E14" s="5">
        <v>1.9599639845400536</v>
      </c>
      <c r="F14" s="5"/>
    </row>
    <row r="15" spans="1:6" ht="18" x14ac:dyDescent="0.35">
      <c r="A15" s="4" t="s">
        <v>3</v>
      </c>
      <c r="B15">
        <f>AVERAGE(A3:A12)</f>
        <v>53500</v>
      </c>
    </row>
    <row r="16" spans="1:6" ht="18" x14ac:dyDescent="0.35">
      <c r="A16" s="4" t="s">
        <v>4</v>
      </c>
      <c r="B16">
        <f>AVERAGE(B3:B12)</f>
        <v>49750</v>
      </c>
    </row>
    <row r="18" spans="1:2" ht="18" x14ac:dyDescent="0.35">
      <c r="A18" s="4" t="s">
        <v>5</v>
      </c>
      <c r="B18">
        <f>_xlfn.VAR.S(A3:A12)</f>
        <v>9166666.666666666</v>
      </c>
    </row>
    <row r="19" spans="1:2" ht="18" x14ac:dyDescent="0.35">
      <c r="A19" s="4" t="s">
        <v>6</v>
      </c>
      <c r="B19">
        <f>_xlfn.VAR.S(B3:B12)</f>
        <v>2291666.6666666665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E3D3B-8479-4027-83C6-379DAE7F465C}">
  <dimension ref="A1:O29"/>
  <sheetViews>
    <sheetView topLeftCell="J1" workbookViewId="0">
      <selection activeCell="O12" sqref="O12"/>
    </sheetView>
  </sheetViews>
  <sheetFormatPr defaultRowHeight="14.4" x14ac:dyDescent="0.3"/>
  <cols>
    <col min="2" max="2" width="16" customWidth="1"/>
    <col min="3" max="3" width="21.109375" customWidth="1"/>
    <col min="6" max="6" width="25.44140625" customWidth="1"/>
    <col min="9" max="9" width="26.77734375" customWidth="1"/>
    <col min="10" max="10" width="13.33203125" customWidth="1"/>
    <col min="11" max="11" width="13.109375" customWidth="1"/>
    <col min="12" max="12" width="16.44140625" customWidth="1"/>
    <col min="13" max="13" width="28.5546875" customWidth="1"/>
  </cols>
  <sheetData>
    <row r="1" spans="1:15" ht="25.8" x14ac:dyDescent="0.5">
      <c r="A1" s="4" t="s">
        <v>1</v>
      </c>
      <c r="B1" s="4" t="s">
        <v>26</v>
      </c>
      <c r="C1" s="7" t="s">
        <v>19</v>
      </c>
      <c r="F1" s="7" t="s">
        <v>21</v>
      </c>
      <c r="G1" s="7" t="s">
        <v>27</v>
      </c>
      <c r="H1" s="2" t="s">
        <v>28</v>
      </c>
      <c r="I1" s="2" t="s">
        <v>29</v>
      </c>
      <c r="J1" s="2" t="s">
        <v>30</v>
      </c>
      <c r="K1" s="2" t="s">
        <v>31</v>
      </c>
      <c r="L1" s="2" t="s">
        <v>47</v>
      </c>
      <c r="M1" s="2" t="s">
        <v>48</v>
      </c>
    </row>
    <row r="2" spans="1:15" x14ac:dyDescent="0.3">
      <c r="A2">
        <v>72</v>
      </c>
      <c r="B2">
        <v>68</v>
      </c>
      <c r="F2">
        <v>72</v>
      </c>
      <c r="G2">
        <v>70</v>
      </c>
      <c r="H2">
        <v>68</v>
      </c>
      <c r="I2">
        <v>69</v>
      </c>
      <c r="J2">
        <f>H2-G17</f>
        <v>-7.9000000000000057</v>
      </c>
      <c r="K2">
        <f>I2-G18</f>
        <v>-4.7999999999999972</v>
      </c>
      <c r="L2">
        <v>7.9</v>
      </c>
      <c r="M2">
        <v>4.8</v>
      </c>
    </row>
    <row r="3" spans="1:15" ht="21" x14ac:dyDescent="0.4">
      <c r="A3">
        <v>78</v>
      </c>
      <c r="B3">
        <v>69</v>
      </c>
      <c r="C3" s="2" t="s">
        <v>20</v>
      </c>
      <c r="F3">
        <v>78</v>
      </c>
      <c r="G3">
        <v>75</v>
      </c>
      <c r="H3">
        <v>69</v>
      </c>
      <c r="I3">
        <v>70</v>
      </c>
      <c r="J3">
        <f>H3-G17</f>
        <v>-6.9000000000000057</v>
      </c>
      <c r="K3">
        <f>I3-G18</f>
        <v>-3.7999999999999972</v>
      </c>
      <c r="L3">
        <v>6.9</v>
      </c>
      <c r="M3">
        <v>3.8</v>
      </c>
    </row>
    <row r="4" spans="1:15" ht="18" x14ac:dyDescent="0.35">
      <c r="A4">
        <v>69</v>
      </c>
      <c r="B4">
        <v>70</v>
      </c>
      <c r="C4" s="4" t="s">
        <v>21</v>
      </c>
      <c r="D4">
        <f>SUM(A2:A16)/15</f>
        <v>75.666666666666671</v>
      </c>
      <c r="F4">
        <v>69</v>
      </c>
      <c r="G4">
        <v>74</v>
      </c>
      <c r="H4">
        <v>72</v>
      </c>
      <c r="I4">
        <v>71</v>
      </c>
      <c r="J4">
        <f>H4-G17</f>
        <v>-3.9000000000000057</v>
      </c>
      <c r="K4">
        <f>I4-G18</f>
        <v>-2.7999999999999972</v>
      </c>
      <c r="L4">
        <v>3.9</v>
      </c>
      <c r="M4">
        <v>2.8</v>
      </c>
    </row>
    <row r="5" spans="1:15" ht="18" x14ac:dyDescent="0.35">
      <c r="A5">
        <v>81</v>
      </c>
      <c r="B5">
        <v>71</v>
      </c>
      <c r="C5" s="4" t="s">
        <v>22</v>
      </c>
      <c r="D5">
        <f>AVERAGE(A2:A16)</f>
        <v>75.666666666666671</v>
      </c>
      <c r="F5">
        <v>81</v>
      </c>
      <c r="G5">
        <v>73</v>
      </c>
      <c r="H5">
        <v>74</v>
      </c>
      <c r="I5">
        <v>72</v>
      </c>
      <c r="J5">
        <f>H5-G17</f>
        <v>-1.9000000000000057</v>
      </c>
      <c r="K5">
        <f>I5-G18</f>
        <v>-1.7999999999999972</v>
      </c>
      <c r="L5">
        <v>1.9</v>
      </c>
      <c r="M5">
        <v>1.8</v>
      </c>
    </row>
    <row r="6" spans="1:15" ht="18" x14ac:dyDescent="0.35">
      <c r="A6">
        <v>76</v>
      </c>
      <c r="B6">
        <v>72</v>
      </c>
      <c r="C6" s="4" t="s">
        <v>23</v>
      </c>
      <c r="D6">
        <f>_xlfn.STDEV.S(A2:A16)</f>
        <v>5.1639777949432224</v>
      </c>
      <c r="F6">
        <v>76</v>
      </c>
      <c r="G6">
        <v>69</v>
      </c>
      <c r="H6">
        <v>76</v>
      </c>
      <c r="I6">
        <v>73</v>
      </c>
      <c r="J6">
        <f>H6-G17</f>
        <v>9.9999999999994316E-2</v>
      </c>
      <c r="K6">
        <f>I6-G18</f>
        <v>-0.79999999999999716</v>
      </c>
      <c r="L6">
        <f>J6*J6</f>
        <v>9.999999999998864E-3</v>
      </c>
      <c r="M6">
        <v>0.8</v>
      </c>
    </row>
    <row r="7" spans="1:15" ht="18" x14ac:dyDescent="0.35">
      <c r="A7">
        <v>74</v>
      </c>
      <c r="B7">
        <v>73</v>
      </c>
      <c r="C7" s="4" t="s">
        <v>24</v>
      </c>
      <c r="D7">
        <v>75</v>
      </c>
      <c r="F7">
        <v>74</v>
      </c>
      <c r="G7">
        <v>71</v>
      </c>
      <c r="H7">
        <v>77</v>
      </c>
      <c r="I7">
        <v>74</v>
      </c>
      <c r="J7">
        <f>H7-G17</f>
        <v>1.0999999999999943</v>
      </c>
      <c r="K7">
        <f>I7-G18</f>
        <v>0.20000000000000284</v>
      </c>
      <c r="L7">
        <f>J7*J7</f>
        <v>1.2099999999999875</v>
      </c>
      <c r="M7">
        <f>K7*K7</f>
        <v>4.0000000000001139E-2</v>
      </c>
    </row>
    <row r="8" spans="1:15" ht="18" x14ac:dyDescent="0.35">
      <c r="A8">
        <v>79</v>
      </c>
      <c r="B8">
        <v>74</v>
      </c>
      <c r="C8" s="4" t="s">
        <v>19</v>
      </c>
      <c r="D8">
        <f>(D5-D7)/(D6/SQRT(D9))</f>
        <v>0.50000000000000355</v>
      </c>
      <c r="F8">
        <v>79</v>
      </c>
      <c r="G8">
        <v>78</v>
      </c>
      <c r="H8">
        <v>78</v>
      </c>
      <c r="I8">
        <v>75</v>
      </c>
      <c r="J8">
        <f>H8-G17</f>
        <v>2.0999999999999943</v>
      </c>
      <c r="K8">
        <f>I8-G18</f>
        <v>1.2000000000000028</v>
      </c>
      <c r="L8">
        <f>J8*J8</f>
        <v>4.4099999999999762</v>
      </c>
      <c r="M8">
        <f>K8*K8</f>
        <v>1.4400000000000068</v>
      </c>
    </row>
    <row r="9" spans="1:15" ht="18" x14ac:dyDescent="0.35">
      <c r="A9">
        <v>68</v>
      </c>
      <c r="B9">
        <v>76</v>
      </c>
      <c r="C9" s="4" t="s">
        <v>25</v>
      </c>
      <c r="D9">
        <v>15</v>
      </c>
      <c r="F9">
        <v>68</v>
      </c>
      <c r="G9">
        <v>72</v>
      </c>
      <c r="H9">
        <v>79</v>
      </c>
      <c r="I9">
        <v>76</v>
      </c>
      <c r="J9">
        <f>H9-G17</f>
        <v>3.0999999999999943</v>
      </c>
      <c r="K9">
        <f>I9-G18</f>
        <v>2.2000000000000028</v>
      </c>
      <c r="L9">
        <f>J9*J9</f>
        <v>9.6099999999999639</v>
      </c>
      <c r="M9">
        <f>K9*K9</f>
        <v>4.8400000000000123</v>
      </c>
    </row>
    <row r="10" spans="1:15" x14ac:dyDescent="0.3">
      <c r="A10">
        <v>85</v>
      </c>
      <c r="B10">
        <v>77</v>
      </c>
      <c r="F10">
        <v>85</v>
      </c>
      <c r="G10">
        <v>76</v>
      </c>
      <c r="H10">
        <v>81</v>
      </c>
      <c r="I10">
        <v>78</v>
      </c>
      <c r="J10">
        <f>H10-G17</f>
        <v>5.0999999999999943</v>
      </c>
      <c r="K10">
        <f>I10-G18</f>
        <v>4.2000000000000028</v>
      </c>
      <c r="L10">
        <f>J10*J10</f>
        <v>26.009999999999941</v>
      </c>
      <c r="M10">
        <f>K10*K10</f>
        <v>17.640000000000025</v>
      </c>
    </row>
    <row r="11" spans="1:15" x14ac:dyDescent="0.3">
      <c r="A11">
        <v>77</v>
      </c>
      <c r="B11">
        <v>78</v>
      </c>
      <c r="F11">
        <v>77</v>
      </c>
      <c r="G11">
        <v>80</v>
      </c>
      <c r="H11">
        <v>85</v>
      </c>
      <c r="I11">
        <v>80</v>
      </c>
      <c r="J11">
        <f>H11-G17</f>
        <v>9.0999999999999943</v>
      </c>
      <c r="K11">
        <f>I11-G18</f>
        <v>6.2000000000000028</v>
      </c>
      <c r="L11">
        <f>J11*J11</f>
        <v>82.809999999999903</v>
      </c>
      <c r="M11">
        <f>K11*K11</f>
        <v>38.440000000000033</v>
      </c>
    </row>
    <row r="12" spans="1:15" x14ac:dyDescent="0.3">
      <c r="A12">
        <v>73</v>
      </c>
      <c r="B12">
        <v>79</v>
      </c>
      <c r="M12" t="s">
        <v>49</v>
      </c>
    </row>
    <row r="13" spans="1:15" ht="25.8" x14ac:dyDescent="0.5">
      <c r="A13">
        <v>70</v>
      </c>
      <c r="B13">
        <v>80</v>
      </c>
      <c r="F13" s="7" t="s">
        <v>32</v>
      </c>
    </row>
    <row r="14" spans="1:15" ht="21" x14ac:dyDescent="0.4">
      <c r="A14">
        <v>80</v>
      </c>
      <c r="B14">
        <v>81</v>
      </c>
      <c r="F14" s="2" t="s">
        <v>33</v>
      </c>
      <c r="I14" t="s">
        <v>50</v>
      </c>
      <c r="M14" t="s">
        <v>58</v>
      </c>
    </row>
    <row r="15" spans="1:15" ht="18.600000000000001" thickBot="1" x14ac:dyDescent="0.4">
      <c r="A15">
        <v>82</v>
      </c>
      <c r="B15">
        <v>82</v>
      </c>
      <c r="F15" s="4" t="s">
        <v>1</v>
      </c>
      <c r="G15">
        <f>SUM(H2:H11)/10</f>
        <v>75.900000000000006</v>
      </c>
    </row>
    <row r="16" spans="1:15" ht="18" x14ac:dyDescent="0.35">
      <c r="A16">
        <v>71</v>
      </c>
      <c r="B16">
        <v>85</v>
      </c>
      <c r="F16" s="4" t="s">
        <v>2</v>
      </c>
      <c r="G16">
        <f>SUM(I2:I11)/10</f>
        <v>73.8</v>
      </c>
      <c r="I16" s="10"/>
      <c r="J16" s="10" t="s">
        <v>8</v>
      </c>
      <c r="K16" s="10" t="s">
        <v>9</v>
      </c>
      <c r="M16" s="10"/>
      <c r="N16" s="10" t="s">
        <v>8</v>
      </c>
      <c r="O16" s="10" t="s">
        <v>9</v>
      </c>
    </row>
    <row r="17" spans="6:15" ht="18" x14ac:dyDescent="0.35">
      <c r="F17" s="4" t="s">
        <v>34</v>
      </c>
      <c r="G17">
        <f>AVERAGE(H2:H11)</f>
        <v>75.900000000000006</v>
      </c>
      <c r="I17" s="8" t="s">
        <v>10</v>
      </c>
      <c r="J17" s="8">
        <v>75.900000000000006</v>
      </c>
      <c r="K17" s="8">
        <v>73.8</v>
      </c>
      <c r="M17" s="8" t="s">
        <v>10</v>
      </c>
      <c r="N17" s="8">
        <v>75.900000000000006</v>
      </c>
      <c r="O17" s="8">
        <v>73.8</v>
      </c>
    </row>
    <row r="18" spans="6:15" ht="18" x14ac:dyDescent="0.35">
      <c r="F18" s="4" t="s">
        <v>35</v>
      </c>
      <c r="G18">
        <f>AVERAGE(I2:I11)</f>
        <v>73.8</v>
      </c>
      <c r="I18" s="8" t="s">
        <v>51</v>
      </c>
      <c r="J18" s="8">
        <v>28.099999999999998</v>
      </c>
      <c r="K18" s="8">
        <v>12.399999999999999</v>
      </c>
      <c r="M18" s="8" t="s">
        <v>51</v>
      </c>
      <c r="N18" s="8">
        <v>28.099999999999998</v>
      </c>
      <c r="O18" s="8">
        <v>12.399999999999999</v>
      </c>
    </row>
    <row r="19" spans="6:15" ht="18" x14ac:dyDescent="0.35">
      <c r="F19" s="4" t="s">
        <v>36</v>
      </c>
      <c r="G19">
        <f>_xlfn.VAR.S(H2:H11)</f>
        <v>28.099999999999998</v>
      </c>
      <c r="I19" s="8" t="s">
        <v>12</v>
      </c>
      <c r="J19" s="8">
        <v>10</v>
      </c>
      <c r="K19" s="8">
        <v>10</v>
      </c>
      <c r="M19" s="8" t="s">
        <v>12</v>
      </c>
      <c r="N19" s="8">
        <v>10</v>
      </c>
      <c r="O19" s="8">
        <v>10</v>
      </c>
    </row>
    <row r="20" spans="6:15" ht="18" x14ac:dyDescent="0.35">
      <c r="F20" s="4" t="s">
        <v>37</v>
      </c>
      <c r="G20">
        <f>_xlfn.VAR.S(I2:I11)</f>
        <v>12.399999999999999</v>
      </c>
      <c r="I20" s="8" t="s">
        <v>42</v>
      </c>
      <c r="J20" s="8">
        <v>20.25</v>
      </c>
      <c r="K20" s="8"/>
      <c r="M20" s="8" t="s">
        <v>13</v>
      </c>
      <c r="N20" s="8">
        <v>0</v>
      </c>
      <c r="O20" s="8"/>
    </row>
    <row r="21" spans="6:15" ht="18" x14ac:dyDescent="0.35">
      <c r="F21" s="4" t="s">
        <v>38</v>
      </c>
      <c r="G21">
        <f>_xlfn.STDEV.S(H2:H11)</f>
        <v>5.3009433122794283</v>
      </c>
      <c r="I21" s="8" t="s">
        <v>13</v>
      </c>
      <c r="J21" s="8">
        <v>0</v>
      </c>
      <c r="K21" s="8"/>
      <c r="M21" s="8" t="s">
        <v>52</v>
      </c>
      <c r="N21" s="8">
        <v>16</v>
      </c>
      <c r="O21" s="8"/>
    </row>
    <row r="22" spans="6:15" ht="18" x14ac:dyDescent="0.35">
      <c r="F22" s="4" t="s">
        <v>39</v>
      </c>
      <c r="G22">
        <f>_xlfn.STDEV.S(I2:I11)</f>
        <v>3.5213633723318014</v>
      </c>
      <c r="I22" s="8" t="s">
        <v>52</v>
      </c>
      <c r="J22" s="8">
        <v>18</v>
      </c>
      <c r="K22" s="8"/>
      <c r="M22" s="8" t="s">
        <v>53</v>
      </c>
      <c r="N22" s="8">
        <v>1.0434983894999061</v>
      </c>
      <c r="O22" s="8"/>
    </row>
    <row r="23" spans="6:15" ht="18" x14ac:dyDescent="0.35">
      <c r="F23" s="4" t="s">
        <v>40</v>
      </c>
      <c r="G23">
        <f>_xlfn.T.TEST(H2:H11,I2:I11,2,2)</f>
        <v>0.31053027137488382</v>
      </c>
      <c r="I23" s="8" t="s">
        <v>53</v>
      </c>
      <c r="J23" s="8">
        <v>1.0434983894999061</v>
      </c>
      <c r="K23" s="8"/>
      <c r="M23" s="8" t="s">
        <v>54</v>
      </c>
      <c r="N23" s="8">
        <v>0.15611416164641448</v>
      </c>
      <c r="O23" s="8"/>
    </row>
    <row r="24" spans="6:15" ht="18" x14ac:dyDescent="0.35">
      <c r="F24" s="4" t="s">
        <v>41</v>
      </c>
      <c r="G24">
        <f>COUNT(H2:H11)</f>
        <v>10</v>
      </c>
      <c r="I24" s="8" t="s">
        <v>54</v>
      </c>
      <c r="J24" s="8">
        <v>0.15526513568744174</v>
      </c>
      <c r="K24" s="8"/>
      <c r="M24" s="8" t="s">
        <v>55</v>
      </c>
      <c r="N24" s="8">
        <v>1.7458836762762506</v>
      </c>
      <c r="O24" s="8"/>
    </row>
    <row r="25" spans="6:15" ht="18" x14ac:dyDescent="0.35">
      <c r="F25" s="4" t="s">
        <v>42</v>
      </c>
      <c r="G25">
        <f>(((G24-1)*G19) + ((G24-1)*G20)) / (G24+G24 - 2)</f>
        <v>20.25</v>
      </c>
      <c r="I25" s="8" t="s">
        <v>55</v>
      </c>
      <c r="J25" s="8">
        <v>1.7340636066175394</v>
      </c>
      <c r="K25" s="8"/>
      <c r="M25" s="8" t="s">
        <v>56</v>
      </c>
      <c r="N25" s="8">
        <v>0.31222832329282896</v>
      </c>
      <c r="O25" s="8"/>
    </row>
    <row r="26" spans="6:15" ht="18.600000000000001" thickBot="1" x14ac:dyDescent="0.4">
      <c r="F26" s="4" t="s">
        <v>43</v>
      </c>
      <c r="G26">
        <f>COUNT(H2:H11) + COUNT(I2:I11) - 2</f>
        <v>18</v>
      </c>
      <c r="I26" s="8" t="s">
        <v>56</v>
      </c>
      <c r="J26" s="8">
        <v>0.31053027137488348</v>
      </c>
      <c r="K26" s="8"/>
      <c r="M26" s="9" t="s">
        <v>57</v>
      </c>
      <c r="N26" s="9">
        <v>2.119905299221255</v>
      </c>
      <c r="O26" s="9"/>
    </row>
    <row r="27" spans="6:15" ht="18.600000000000001" thickBot="1" x14ac:dyDescent="0.4">
      <c r="F27" s="4" t="s">
        <v>44</v>
      </c>
      <c r="G27">
        <f>SQRT(G25*(1/G24+1/G24))</f>
        <v>2.0124611797498106</v>
      </c>
      <c r="I27" s="9" t="s">
        <v>57</v>
      </c>
      <c r="J27" s="9">
        <v>2.1009220402410378</v>
      </c>
      <c r="K27" s="9"/>
    </row>
    <row r="28" spans="6:15" ht="18" x14ac:dyDescent="0.35">
      <c r="F28" s="4" t="s">
        <v>45</v>
      </c>
      <c r="G28">
        <f>(G17-G18)/G27</f>
        <v>1.0434983894999061</v>
      </c>
    </row>
    <row r="29" spans="6:15" ht="18" x14ac:dyDescent="0.35">
      <c r="F29" s="4" t="s">
        <v>46</v>
      </c>
      <c r="G29">
        <f>_xlfn.T.DIST(G28,G26,TRUE)</f>
        <v>0.84473486431255829</v>
      </c>
    </row>
  </sheetData>
  <sortState xmlns:xlrd2="http://schemas.microsoft.com/office/spreadsheetml/2017/richdata2" ref="I2:I11">
    <sortCondition ref="I2:I1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A7882-7823-47CC-902F-1190B37DA448}">
  <dimension ref="A1:O26"/>
  <sheetViews>
    <sheetView workbookViewId="0">
      <selection activeCell="G14" sqref="G14"/>
    </sheetView>
  </sheetViews>
  <sheetFormatPr defaultRowHeight="14.4" x14ac:dyDescent="0.3"/>
  <sheetData>
    <row r="1" spans="1:12" ht="33.6" x14ac:dyDescent="0.65">
      <c r="A1" s="11" t="s">
        <v>59</v>
      </c>
    </row>
    <row r="2" spans="1:12" ht="23.4" x14ac:dyDescent="0.45">
      <c r="A2" s="3" t="s">
        <v>1</v>
      </c>
      <c r="B2" s="3" t="s">
        <v>2</v>
      </c>
      <c r="C2" s="3" t="s">
        <v>60</v>
      </c>
      <c r="I2" t="s">
        <v>77</v>
      </c>
    </row>
    <row r="3" spans="1:12" x14ac:dyDescent="0.3">
      <c r="A3">
        <v>50</v>
      </c>
      <c r="B3">
        <v>80</v>
      </c>
      <c r="C3">
        <v>90</v>
      </c>
    </row>
    <row r="4" spans="1:12" x14ac:dyDescent="0.3">
      <c r="A4">
        <v>48</v>
      </c>
      <c r="B4">
        <v>75</v>
      </c>
      <c r="C4">
        <v>95</v>
      </c>
      <c r="I4" t="s">
        <v>62</v>
      </c>
      <c r="J4" t="s">
        <v>2</v>
      </c>
      <c r="K4" t="s">
        <v>60</v>
      </c>
      <c r="L4" t="s">
        <v>76</v>
      </c>
    </row>
    <row r="5" spans="1:12" ht="15" thickBot="1" x14ac:dyDescent="0.35">
      <c r="A5">
        <v>46</v>
      </c>
      <c r="B5">
        <v>72</v>
      </c>
      <c r="C5">
        <v>94</v>
      </c>
      <c r="I5" s="12">
        <v>50</v>
      </c>
      <c r="J5" s="12"/>
      <c r="K5" s="12"/>
      <c r="L5" s="12"/>
    </row>
    <row r="6" spans="1:12" x14ac:dyDescent="0.3">
      <c r="A6">
        <v>42</v>
      </c>
      <c r="B6">
        <v>71</v>
      </c>
      <c r="C6">
        <v>92</v>
      </c>
      <c r="I6" s="8" t="s">
        <v>64</v>
      </c>
      <c r="J6" s="8">
        <v>5</v>
      </c>
      <c r="K6" s="8">
        <v>5</v>
      </c>
      <c r="L6" s="8">
        <v>10</v>
      </c>
    </row>
    <row r="7" spans="1:12" x14ac:dyDescent="0.3">
      <c r="A7">
        <v>55</v>
      </c>
      <c r="B7">
        <v>76</v>
      </c>
      <c r="C7">
        <v>83</v>
      </c>
      <c r="I7" s="8" t="s">
        <v>65</v>
      </c>
      <c r="J7" s="8">
        <v>374</v>
      </c>
      <c r="K7" s="8">
        <v>454</v>
      </c>
      <c r="L7" s="8">
        <v>828</v>
      </c>
    </row>
    <row r="8" spans="1:12" x14ac:dyDescent="0.3">
      <c r="I8" s="8" t="s">
        <v>66</v>
      </c>
      <c r="J8" s="8">
        <v>74.8</v>
      </c>
      <c r="K8" s="8">
        <v>90.8</v>
      </c>
      <c r="L8" s="8">
        <v>82.8</v>
      </c>
    </row>
    <row r="9" spans="1:12" x14ac:dyDescent="0.3">
      <c r="I9" s="8" t="s">
        <v>51</v>
      </c>
      <c r="J9" s="8">
        <v>12.7</v>
      </c>
      <c r="K9" s="8">
        <v>22.7</v>
      </c>
      <c r="L9" s="8">
        <v>86.844444444445088</v>
      </c>
    </row>
    <row r="10" spans="1:12" x14ac:dyDescent="0.3">
      <c r="I10" s="8"/>
      <c r="J10" s="8"/>
      <c r="K10" s="8"/>
      <c r="L10" s="8"/>
    </row>
    <row r="11" spans="1:12" ht="15" thickBot="1" x14ac:dyDescent="0.35">
      <c r="I11" s="12" t="s">
        <v>76</v>
      </c>
      <c r="J11" s="12"/>
      <c r="K11" s="12"/>
    </row>
    <row r="12" spans="1:12" x14ac:dyDescent="0.3">
      <c r="A12" t="s">
        <v>61</v>
      </c>
      <c r="I12" s="8" t="s">
        <v>64</v>
      </c>
      <c r="J12" s="8">
        <v>5</v>
      </c>
      <c r="K12" s="8">
        <v>5</v>
      </c>
    </row>
    <row r="13" spans="1:12" x14ac:dyDescent="0.3">
      <c r="I13" s="8" t="s">
        <v>65</v>
      </c>
      <c r="J13" s="8">
        <v>374</v>
      </c>
      <c r="K13" s="8">
        <v>454</v>
      </c>
    </row>
    <row r="14" spans="1:12" ht="15" thickBot="1" x14ac:dyDescent="0.35">
      <c r="A14" t="s">
        <v>62</v>
      </c>
      <c r="I14" s="8" t="s">
        <v>66</v>
      </c>
      <c r="J14" s="8">
        <v>74.8</v>
      </c>
      <c r="K14" s="8">
        <v>90.8</v>
      </c>
    </row>
    <row r="15" spans="1:12" x14ac:dyDescent="0.3">
      <c r="A15" s="10" t="s">
        <v>63</v>
      </c>
      <c r="B15" s="10" t="s">
        <v>64</v>
      </c>
      <c r="C15" s="10" t="s">
        <v>65</v>
      </c>
      <c r="D15" s="10" t="s">
        <v>66</v>
      </c>
      <c r="E15" s="10" t="s">
        <v>51</v>
      </c>
      <c r="I15" s="8" t="s">
        <v>51</v>
      </c>
      <c r="J15" s="8">
        <v>12.7</v>
      </c>
      <c r="K15" s="8">
        <v>22.7</v>
      </c>
    </row>
    <row r="16" spans="1:12" x14ac:dyDescent="0.3">
      <c r="A16" s="8" t="s">
        <v>1</v>
      </c>
      <c r="B16" s="8">
        <v>5</v>
      </c>
      <c r="C16" s="8">
        <v>241</v>
      </c>
      <c r="D16" s="8">
        <v>48.2</v>
      </c>
      <c r="E16" s="8">
        <v>23.2</v>
      </c>
      <c r="I16" s="8"/>
      <c r="J16" s="8"/>
      <c r="K16" s="8"/>
    </row>
    <row r="17" spans="1:15" x14ac:dyDescent="0.3">
      <c r="A17" s="8" t="s">
        <v>2</v>
      </c>
      <c r="B17" s="8">
        <v>5</v>
      </c>
      <c r="C17" s="8">
        <v>374</v>
      </c>
      <c r="D17" s="8">
        <v>74.8</v>
      </c>
      <c r="E17" s="8">
        <v>12.7</v>
      </c>
    </row>
    <row r="18" spans="1:15" ht="15" thickBot="1" x14ac:dyDescent="0.35">
      <c r="A18" s="9" t="s">
        <v>60</v>
      </c>
      <c r="B18" s="9">
        <v>5</v>
      </c>
      <c r="C18" s="9">
        <v>454</v>
      </c>
      <c r="D18" s="9">
        <v>90.8</v>
      </c>
      <c r="E18" s="9">
        <v>22.7</v>
      </c>
      <c r="I18" t="s">
        <v>67</v>
      </c>
    </row>
    <row r="19" spans="1:15" x14ac:dyDescent="0.3">
      <c r="I19" s="10" t="s">
        <v>68</v>
      </c>
      <c r="J19" s="10" t="s">
        <v>69</v>
      </c>
      <c r="K19" s="10" t="s">
        <v>52</v>
      </c>
      <c r="L19" s="10" t="s">
        <v>70</v>
      </c>
      <c r="M19" s="10" t="s">
        <v>71</v>
      </c>
      <c r="N19" s="10" t="s">
        <v>72</v>
      </c>
      <c r="O19" s="10" t="s">
        <v>73</v>
      </c>
    </row>
    <row r="20" spans="1:15" x14ac:dyDescent="0.3">
      <c r="I20" s="8" t="s">
        <v>78</v>
      </c>
      <c r="J20" s="8">
        <v>0</v>
      </c>
      <c r="K20" s="8">
        <v>0</v>
      </c>
      <c r="L20" s="8">
        <v>65535</v>
      </c>
      <c r="M20" s="8">
        <v>65535</v>
      </c>
      <c r="N20" s="8" t="e">
        <v>#NUM!</v>
      </c>
      <c r="O20" s="8" t="e">
        <v>#NUM!</v>
      </c>
    </row>
    <row r="21" spans="1:15" ht="15" thickBot="1" x14ac:dyDescent="0.35">
      <c r="A21" t="s">
        <v>67</v>
      </c>
      <c r="I21" s="8" t="s">
        <v>79</v>
      </c>
      <c r="J21" s="8">
        <v>640</v>
      </c>
      <c r="K21" s="8">
        <v>1</v>
      </c>
      <c r="L21" s="8">
        <v>640</v>
      </c>
      <c r="M21" s="8">
        <v>36.158192090395481</v>
      </c>
      <c r="N21" s="8">
        <v>3.1868566900221802E-4</v>
      </c>
      <c r="O21" s="8">
        <v>5.3176550715787174</v>
      </c>
    </row>
    <row r="22" spans="1:15" x14ac:dyDescent="0.3">
      <c r="A22" s="10" t="s">
        <v>68</v>
      </c>
      <c r="B22" s="10" t="s">
        <v>69</v>
      </c>
      <c r="C22" s="10" t="s">
        <v>52</v>
      </c>
      <c r="D22" s="10" t="s">
        <v>70</v>
      </c>
      <c r="E22" s="10" t="s">
        <v>71</v>
      </c>
      <c r="F22" s="10" t="s">
        <v>72</v>
      </c>
      <c r="G22" s="10" t="s">
        <v>73</v>
      </c>
      <c r="I22" s="8" t="s">
        <v>80</v>
      </c>
      <c r="J22" s="8">
        <v>2.8421709430404007E-14</v>
      </c>
      <c r="K22" s="8">
        <v>0</v>
      </c>
      <c r="L22" s="8">
        <v>65535</v>
      </c>
      <c r="M22" s="8">
        <v>65535</v>
      </c>
      <c r="N22" s="8" t="e">
        <v>#NUM!</v>
      </c>
      <c r="O22" s="8" t="e">
        <v>#NUM!</v>
      </c>
    </row>
    <row r="23" spans="1:15" x14ac:dyDescent="0.3">
      <c r="A23" s="8" t="s">
        <v>74</v>
      </c>
      <c r="B23" s="8">
        <v>4630.5333333333328</v>
      </c>
      <c r="C23" s="8">
        <v>2</v>
      </c>
      <c r="D23" s="8">
        <v>2315.2666666666664</v>
      </c>
      <c r="E23" s="8">
        <v>118.52901023890784</v>
      </c>
      <c r="F23" s="8">
        <v>1.2510777038568239E-8</v>
      </c>
      <c r="G23" s="8">
        <v>3.8852938346523942</v>
      </c>
      <c r="I23" s="8" t="s">
        <v>81</v>
      </c>
      <c r="J23" s="8">
        <v>141.6</v>
      </c>
      <c r="K23" s="8">
        <v>8</v>
      </c>
      <c r="L23" s="8">
        <v>17.7</v>
      </c>
      <c r="M23" s="8"/>
      <c r="N23" s="8"/>
      <c r="O23" s="8"/>
    </row>
    <row r="24" spans="1:15" x14ac:dyDescent="0.3">
      <c r="A24" s="8" t="s">
        <v>75</v>
      </c>
      <c r="B24" s="8">
        <v>234.39999999999998</v>
      </c>
      <c r="C24" s="8">
        <v>12</v>
      </c>
      <c r="D24" s="8">
        <v>19.533333333333331</v>
      </c>
      <c r="E24" s="8"/>
      <c r="F24" s="8"/>
      <c r="G24" s="8"/>
      <c r="I24" s="8"/>
      <c r="J24" s="8"/>
      <c r="K24" s="8"/>
      <c r="L24" s="8"/>
      <c r="M24" s="8"/>
      <c r="N24" s="8"/>
      <c r="O24" s="8"/>
    </row>
    <row r="25" spans="1:15" ht="15" thickBot="1" x14ac:dyDescent="0.35">
      <c r="A25" s="8"/>
      <c r="B25" s="8"/>
      <c r="C25" s="8"/>
      <c r="D25" s="8"/>
      <c r="E25" s="8"/>
      <c r="F25" s="8"/>
      <c r="G25" s="8"/>
      <c r="I25" s="9" t="s">
        <v>76</v>
      </c>
      <c r="J25" s="9">
        <v>781.6</v>
      </c>
      <c r="K25" s="9">
        <v>9</v>
      </c>
      <c r="L25" s="9"/>
      <c r="M25" s="9"/>
      <c r="N25" s="9"/>
      <c r="O25" s="9"/>
    </row>
    <row r="26" spans="1:15" ht="15" thickBot="1" x14ac:dyDescent="0.35">
      <c r="A26" s="9" t="s">
        <v>76</v>
      </c>
      <c r="B26" s="9">
        <v>4864.9333333333325</v>
      </c>
      <c r="C26" s="9">
        <v>14</v>
      </c>
      <c r="D26" s="9"/>
      <c r="E26" s="9"/>
      <c r="F26" s="9"/>
      <c r="G26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81CF9-135D-41FB-9065-92C0B3EDE7EE}">
  <dimension ref="A1:E42"/>
  <sheetViews>
    <sheetView tabSelected="1" topLeftCell="A21" workbookViewId="0">
      <selection activeCell="E39" sqref="E39"/>
    </sheetView>
  </sheetViews>
  <sheetFormatPr defaultRowHeight="14.4" x14ac:dyDescent="0.3"/>
  <cols>
    <col min="1" max="1" width="20.5546875" customWidth="1"/>
    <col min="2" max="2" width="15.109375" customWidth="1"/>
    <col min="3" max="3" width="21.33203125" customWidth="1"/>
    <col min="4" max="4" width="15.5546875" customWidth="1"/>
    <col min="5" max="5" width="11.33203125" customWidth="1"/>
  </cols>
  <sheetData>
    <row r="1" spans="1:5" ht="25.8" x14ac:dyDescent="0.5">
      <c r="A1" s="7" t="s">
        <v>82</v>
      </c>
    </row>
    <row r="2" spans="1:5" ht="18" x14ac:dyDescent="0.35">
      <c r="A2" s="13"/>
      <c r="B2" s="13" t="s">
        <v>83</v>
      </c>
      <c r="C2" s="13" t="s">
        <v>84</v>
      </c>
      <c r="D2" s="13" t="s">
        <v>85</v>
      </c>
      <c r="E2" s="13" t="s">
        <v>76</v>
      </c>
    </row>
    <row r="3" spans="1:5" ht="18" x14ac:dyDescent="0.35">
      <c r="A3" s="13" t="s">
        <v>86</v>
      </c>
      <c r="B3" s="14">
        <v>20</v>
      </c>
      <c r="C3" s="14">
        <v>30</v>
      </c>
      <c r="D3" s="14">
        <v>25</v>
      </c>
      <c r="E3" s="14">
        <v>75</v>
      </c>
    </row>
    <row r="4" spans="1:5" ht="18" x14ac:dyDescent="0.35">
      <c r="A4" s="13" t="s">
        <v>87</v>
      </c>
      <c r="B4" s="14">
        <v>25</v>
      </c>
      <c r="C4" s="14">
        <v>35</v>
      </c>
      <c r="D4" s="14">
        <v>40</v>
      </c>
      <c r="E4" s="14">
        <v>100</v>
      </c>
    </row>
    <row r="5" spans="1:5" ht="18" x14ac:dyDescent="0.35">
      <c r="A5" s="13" t="s">
        <v>76</v>
      </c>
      <c r="B5" s="14">
        <v>45</v>
      </c>
      <c r="C5" s="14">
        <v>65</v>
      </c>
      <c r="D5" s="14">
        <v>65</v>
      </c>
      <c r="E5" s="14">
        <v>175</v>
      </c>
    </row>
    <row r="6" spans="1:5" ht="18" x14ac:dyDescent="0.35">
      <c r="A6" s="15"/>
    </row>
    <row r="8" spans="1:5" ht="25.8" x14ac:dyDescent="0.5">
      <c r="A8" s="7" t="s">
        <v>88</v>
      </c>
    </row>
    <row r="9" spans="1:5" ht="18" x14ac:dyDescent="0.35">
      <c r="A9" s="13"/>
      <c r="B9" s="13" t="s">
        <v>83</v>
      </c>
      <c r="C9" s="13" t="s">
        <v>84</v>
      </c>
      <c r="D9" s="13" t="s">
        <v>85</v>
      </c>
      <c r="E9" s="13" t="s">
        <v>76</v>
      </c>
    </row>
    <row r="10" spans="1:5" ht="18" x14ac:dyDescent="0.35">
      <c r="A10" s="13" t="s">
        <v>86</v>
      </c>
      <c r="B10" s="14">
        <f>E3*B5/E5</f>
        <v>19.285714285714285</v>
      </c>
      <c r="C10" s="14">
        <f>E3*C5/E5</f>
        <v>27.857142857142858</v>
      </c>
      <c r="D10" s="14">
        <f>E3*D5/E5</f>
        <v>27.857142857142858</v>
      </c>
      <c r="E10" s="14">
        <f>SUM(B10:D10)</f>
        <v>75</v>
      </c>
    </row>
    <row r="11" spans="1:5" ht="18" x14ac:dyDescent="0.35">
      <c r="A11" s="13" t="s">
        <v>87</v>
      </c>
      <c r="B11" s="14">
        <f>E4*B5/E5</f>
        <v>25.714285714285715</v>
      </c>
      <c r="C11" s="14">
        <f>E4*C5/E5</f>
        <v>37.142857142857146</v>
      </c>
      <c r="D11" s="14">
        <f>E4*D5/E5</f>
        <v>37.142857142857146</v>
      </c>
      <c r="E11" s="14">
        <f>SUM(B11:D11)</f>
        <v>100</v>
      </c>
    </row>
    <row r="12" spans="1:5" ht="18" x14ac:dyDescent="0.35">
      <c r="A12" s="13" t="s">
        <v>76</v>
      </c>
      <c r="B12" s="14">
        <f>SUM(B10:B11)</f>
        <v>45</v>
      </c>
      <c r="C12" s="14">
        <f>SUM(C10:C11)</f>
        <v>65</v>
      </c>
      <c r="D12" s="14">
        <f>SUM(D10:D11)</f>
        <v>65</v>
      </c>
      <c r="E12" s="14">
        <f>SUM(B12:D12)</f>
        <v>175</v>
      </c>
    </row>
    <row r="15" spans="1:5" ht="25.8" x14ac:dyDescent="0.5">
      <c r="A15" s="7" t="s">
        <v>89</v>
      </c>
    </row>
    <row r="17" spans="1:5" ht="18" x14ac:dyDescent="0.35">
      <c r="C17" s="16" t="s">
        <v>90</v>
      </c>
    </row>
    <row r="20" spans="1:5" ht="25.8" x14ac:dyDescent="0.5">
      <c r="A20" s="7" t="s">
        <v>91</v>
      </c>
    </row>
    <row r="22" spans="1:5" ht="18" x14ac:dyDescent="0.35">
      <c r="A22" s="13" t="s">
        <v>92</v>
      </c>
      <c r="B22" s="13" t="s">
        <v>93</v>
      </c>
      <c r="C22" s="13" t="s">
        <v>94</v>
      </c>
      <c r="D22" s="13" t="s">
        <v>95</v>
      </c>
      <c r="E22" s="13" t="s">
        <v>96</v>
      </c>
    </row>
    <row r="23" spans="1:5" x14ac:dyDescent="0.3">
      <c r="A23" s="14">
        <v>20</v>
      </c>
      <c r="B23" s="14">
        <v>19.285714290000001</v>
      </c>
      <c r="C23" s="14">
        <f>A23-B23</f>
        <v>0.71428570999999863</v>
      </c>
      <c r="D23" s="14">
        <f>C23*C23</f>
        <v>0.51020407551020219</v>
      </c>
      <c r="E23" s="14">
        <f>D23/B23</f>
        <v>2.6455026131687143E-2</v>
      </c>
    </row>
    <row r="24" spans="1:5" x14ac:dyDescent="0.3">
      <c r="A24" s="14">
        <v>25</v>
      </c>
      <c r="B24" s="14">
        <v>25.714285709999999</v>
      </c>
      <c r="C24" s="14">
        <f>A24-B24</f>
        <v>-0.71428570999999863</v>
      </c>
      <c r="D24" s="14">
        <v>0.71428570999999996</v>
      </c>
      <c r="E24" s="14">
        <f>D24/B24</f>
        <v>2.777777761574074E-2</v>
      </c>
    </row>
    <row r="25" spans="1:5" x14ac:dyDescent="0.3">
      <c r="A25" s="14">
        <v>30</v>
      </c>
      <c r="B25" s="14">
        <v>27.85714286</v>
      </c>
      <c r="C25" s="14">
        <f>A25-B25</f>
        <v>2.1428571400000003</v>
      </c>
      <c r="D25" s="14">
        <f>C25*C25</f>
        <v>4.5918367224489804</v>
      </c>
      <c r="E25" s="14">
        <f>D25/B25</f>
        <v>0.16483516437869825</v>
      </c>
    </row>
    <row r="26" spans="1:5" x14ac:dyDescent="0.3">
      <c r="A26" s="14">
        <v>35</v>
      </c>
      <c r="B26" s="14">
        <v>37.142857139999997</v>
      </c>
      <c r="C26" s="14">
        <f>A26-B26</f>
        <v>-2.1428571399999967</v>
      </c>
      <c r="D26" s="14">
        <v>2.1428571399999998</v>
      </c>
      <c r="E26" s="14">
        <f>D26/B26</f>
        <v>5.7692307619822483E-2</v>
      </c>
    </row>
    <row r="27" spans="1:5" x14ac:dyDescent="0.3">
      <c r="A27" s="14">
        <v>25</v>
      </c>
      <c r="B27" s="14">
        <v>27.85714286</v>
      </c>
      <c r="C27" s="14">
        <f>A27-B27</f>
        <v>-2.8571428599999997</v>
      </c>
      <c r="D27" s="14">
        <v>2.8571428600000002</v>
      </c>
      <c r="E27" s="14">
        <f>D27/B27</f>
        <v>0.10256410265614728</v>
      </c>
    </row>
    <row r="28" spans="1:5" x14ac:dyDescent="0.3">
      <c r="A28" s="14">
        <v>40</v>
      </c>
      <c r="B28" s="14">
        <v>37.142857139999997</v>
      </c>
      <c r="C28" s="14">
        <f>A28-B28</f>
        <v>2.8571428600000033</v>
      </c>
      <c r="D28" s="14">
        <f>C28*C28</f>
        <v>8.1632653224489982</v>
      </c>
      <c r="E28" s="14">
        <f>D28/B28</f>
        <v>0.21978022023668692</v>
      </c>
    </row>
    <row r="31" spans="1:5" ht="25.8" x14ac:dyDescent="0.5">
      <c r="A31" s="7" t="s">
        <v>97</v>
      </c>
    </row>
    <row r="33" spans="1:2" ht="18" x14ac:dyDescent="0.35">
      <c r="A33" s="17" t="s">
        <v>98</v>
      </c>
    </row>
    <row r="34" spans="1:2" x14ac:dyDescent="0.3">
      <c r="A34" t="s">
        <v>99</v>
      </c>
    </row>
    <row r="35" spans="1:2" x14ac:dyDescent="0.3">
      <c r="A35" t="s">
        <v>100</v>
      </c>
    </row>
    <row r="36" spans="1:2" x14ac:dyDescent="0.3">
      <c r="A36" t="s">
        <v>101</v>
      </c>
    </row>
    <row r="39" spans="1:2" ht="25.8" x14ac:dyDescent="0.5">
      <c r="A39" s="7" t="s">
        <v>102</v>
      </c>
      <c r="B39" s="4">
        <f>_xlfn.CHISQ.TEST(B3:E5,B10:E12)</f>
        <v>0.99073685869727168</v>
      </c>
    </row>
    <row r="42" spans="1:2" ht="23.4" x14ac:dyDescent="0.45">
      <c r="A42" s="18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Z-Test</vt:lpstr>
      <vt:lpstr>T-test</vt:lpstr>
      <vt:lpstr>ANOVA</vt:lpstr>
      <vt:lpstr>Chi-Square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Kashish Darji</dc:creator>
  <cp:lastModifiedBy>Kashish Darji</cp:lastModifiedBy>
  <dcterms:created xsi:type="dcterms:W3CDTF">2025-06-17T11:17:22Z</dcterms:created>
  <dcterms:modified xsi:type="dcterms:W3CDTF">2025-06-17T15:00:49Z</dcterms:modified>
</cp:coreProperties>
</file>